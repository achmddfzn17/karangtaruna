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or SUS" sheetId="1" state="visible" r:id="rId3"/>
    <sheet name="Reliabilitas (Cronbach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<sst xmlns="http://schemas.openxmlformats.org/spreadsheetml/2006/main" count="65" uniqueCount="42">
  <si>
    <t xml:space="preserve">Perhitungan Skor System Usability Scale (SUS)</t>
  </si>
  <si>
    <t xml:space="preserve">Sumber: Data asli Google Form, 12 responden. Sel kuning = input jawaban 1-5.</t>
  </si>
  <si>
    <t xml:space="preserve">Responden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</si>
  <si>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</si>
  <si>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</si>
  <si>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</si>
  <si>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</si>
  <si>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</si>
  <si>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</si>
  <si>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</si>
  <si>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</si>
  <si>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</si>
  <si>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</si>
  <si>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Skor SUS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</si>
  <si>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</si>
  <si>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</si>
  <si>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</si>
  <si>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</si>
  <si>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</si>
  <si>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</si>
  <si>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</si>
  <si>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</si>
  <si>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</si>
  <si>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</si>
  <si>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</si>
  <si>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</si>
  <si>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Jumlah Responden (N)</t>
  </si>
  <si>
    <t xml:space="preserve">Rata-rata (Mean)</t>
  </si>
  <si>
    <t xml:space="preserve">Median</t>
  </si>
  <si>
    <t xml:space="preserve">Standar Deviasi (sampel, n-1)</t>
  </si>
  <si>
    <t xml:space="preserve">Standar Deviasi (populasi, n)</t>
  </si>
  <si>
    <t xml:space="preserve">Nilai Minimum</t>
  </si>
  <si>
    <t xml:space="preserve">Nilai Maksimum</t>
  </si>
  <si>
    <t xml:space="preserve">Uji Reliabilitas Cronbach's Alpha (kontribusi item sudah di-recode arah SUS)</t>
  </si>
  <si>
    <t xml:space="preserve">Nilai tiap item diambil dari sheet 'Skor SUS'. Item ganjil = jawaban - 1, item genap = 5 - jawaban (rentang 0-4).</t>
  </si>
  <si>
    <t xml:space="preserve">Total Skor Item</t>
  </si>
  <si>
    <t xml:space="preserve">Varian Item (sampel)</t>
  </si>
  <si>
    <t xml:space="preserve">Jumlah item (k)</t>
  </si>
  <si>
    <t xml:space="preserve">Jumlah varian item  (Σσ²item)</t>
  </si>
  <si>
    <t xml:space="preserve">Varian skor total  (σ²total)</t>
  </si>
  <si>
    <t xml:space="preserve">Cronbach's Alpha  =k/(k-1)*(1-Σσ²item/σ²total)</t>
  </si>
  <si>
    <t xml:space="preserve">Interpretasi (George &amp; Mallery 2003): α&lt;0,60 rendah; 0,60-0,70 sedang; 0,70-0,80 cukup; 0,80-0,90 tinggi; &gt;0,90 sangat tinggi.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</si>
</sst>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imes New Roman"/>
      <family val="0"/>
      <charset val="1"/>
    </font>
    <font>
      <i val="true"/>
      <sz val="10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1"/>
      <name val="Times New Roman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10" min="2" style="0" width="6"/>
    <col collapsed="false" customWidth="true" hidden="false" outlineLevel="0" max="11" min="11" style="0" width="30"/>
    <col collapsed="false" customWidth="true" hidden="false" outlineLevel="0" max="12" min="12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s">
        <v>14</v>
      </c>
      <c r="B5" s="5" t="n">
        <v>5</v>
      </c>
      <c r="C5" s="5" t="n">
        <v>2</v>
      </c>
      <c r="D5" s="5" t="n">
        <v>5</v>
      </c>
      <c r="E5" s="5" t="n">
        <v>2</v>
      </c>
      <c r="F5" s="5" t="n">
        <v>5</v>
      </c>
      <c r="G5" s="5" t="n">
        <v>2</v>
      </c>
      <c r="H5" s="5" t="n">
        <v>5</v>
      </c>
      <c r="I5" s="5" t="n">
        <v>2</v>
      </c>
      <c r="J5" s="5" t="n">
        <v>4</v>
      </c>
      <c r="K5" s="5" t="n">
        <v>5</v>
      </c>
      <c r="L5" s="6" t="n">
        <f aca="false">2.5*((B5-1)+(5-C5)+(D5-1)+(5-E5)+(F5-1)+(5-G5)+(H5-1)+(5-I5)+(J5-1)+(5-K5))</f>
        <v>77.5</v>
      </c>
    </row>
    <row r="6" customFormat="false" ht="15" hidden="false" customHeight="false" outlineLevel="0" collapsed="false">
      <c r="A6" s="4" t="s">
        <v>15</v>
      </c>
      <c r="B6" s="5" t="n">
        <v>5</v>
      </c>
      <c r="C6" s="5" t="n">
        <v>2</v>
      </c>
      <c r="D6" s="5" t="n">
        <v>5</v>
      </c>
      <c r="E6" s="5" t="n">
        <v>2</v>
      </c>
      <c r="F6" s="5" t="n">
        <v>1</v>
      </c>
      <c r="G6" s="5" t="n">
        <v>5</v>
      </c>
      <c r="H6" s="5" t="n">
        <v>4</v>
      </c>
      <c r="I6" s="5" t="n">
        <v>1</v>
      </c>
      <c r="J6" s="5" t="n">
        <v>5</v>
      </c>
      <c r="K6" s="5" t="n">
        <v>5</v>
      </c>
      <c r="L6" s="6" t="n">
        <f aca="false">2.5*((B6-1)+(5-C6)+(D6-1)+(5-E6)+(F6-1)+(5-G6)+(H6-1)+(5-I6)+(J6-1)+(5-K6))</f>
        <v>62.5</v>
      </c>
    </row>
    <row r="7" customFormat="false" ht="15" hidden="false" customHeight="false" outlineLevel="0" collapsed="false">
      <c r="A7" s="4" t="s">
        <v>16</v>
      </c>
      <c r="B7" s="5" t="n">
        <v>5</v>
      </c>
      <c r="C7" s="5" t="n">
        <v>2</v>
      </c>
      <c r="D7" s="5" t="n">
        <v>4</v>
      </c>
      <c r="E7" s="5" t="n">
        <v>2</v>
      </c>
      <c r="F7" s="5" t="n">
        <v>4</v>
      </c>
      <c r="G7" s="5" t="n">
        <v>1</v>
      </c>
      <c r="H7" s="5" t="n">
        <v>4</v>
      </c>
      <c r="I7" s="5" t="n">
        <v>1</v>
      </c>
      <c r="J7" s="5" t="n">
        <v>5</v>
      </c>
      <c r="K7" s="5" t="n">
        <v>5</v>
      </c>
      <c r="L7" s="6" t="n">
        <f aca="false">2.5*((B7-1)+(5-C7)+(D7-1)+(5-E7)+(F7-1)+(5-G7)+(H7-1)+(5-I7)+(J7-1)+(5-K7))</f>
        <v>77.5</v>
      </c>
    </row>
    <row r="8" customFormat="false" ht="15" hidden="false" customHeight="false" outlineLevel="0" collapsed="false">
      <c r="A8" s="4" t="s">
        <v>17</v>
      </c>
      <c r="B8" s="5" t="n">
        <v>5</v>
      </c>
      <c r="C8" s="5" t="n">
        <v>2</v>
      </c>
      <c r="D8" s="5" t="n">
        <v>4</v>
      </c>
      <c r="E8" s="5" t="n">
        <v>1</v>
      </c>
      <c r="F8" s="5" t="n">
        <v>5</v>
      </c>
      <c r="G8" s="5" t="n">
        <v>2</v>
      </c>
      <c r="H8" s="5" t="n">
        <v>4</v>
      </c>
      <c r="I8" s="5" t="n">
        <v>1</v>
      </c>
      <c r="J8" s="5" t="n">
        <v>5</v>
      </c>
      <c r="K8" s="5" t="n">
        <v>4</v>
      </c>
      <c r="L8" s="6" t="n">
        <f aca="false">2.5*((B8-1)+(5-C8)+(D8-1)+(5-E8)+(F8-1)+(5-G8)+(H8-1)+(5-I8)+(J8-1)+(5-K8))</f>
        <v>82.5</v>
      </c>
    </row>
    <row r="9" customFormat="false" ht="15" hidden="false" customHeight="false" outlineLevel="0" collapsed="false">
      <c r="A9" s="4" t="s">
        <v>18</v>
      </c>
      <c r="B9" s="5" t="n">
        <v>5</v>
      </c>
      <c r="C9" s="5" t="n">
        <v>2</v>
      </c>
      <c r="D9" s="5" t="n">
        <v>5</v>
      </c>
      <c r="E9" s="5" t="n">
        <v>1</v>
      </c>
      <c r="F9" s="5" t="n">
        <v>4</v>
      </c>
      <c r="G9" s="5" t="n">
        <v>3</v>
      </c>
      <c r="H9" s="5" t="n">
        <v>5</v>
      </c>
      <c r="I9" s="5" t="n">
        <v>2</v>
      </c>
      <c r="J9" s="5" t="n">
        <v>5</v>
      </c>
      <c r="K9" s="5" t="n">
        <v>5</v>
      </c>
      <c r="L9" s="6" t="n">
        <f aca="false">2.5*((B9-1)+(5-C9)+(D9-1)+(5-E9)+(F9-1)+(5-G9)+(H9-1)+(5-I9)+(J9-1)+(5-K9))</f>
        <v>77.5</v>
      </c>
    </row>
    <row r="10" customFormat="false" ht="15" hidden="false" customHeight="false" outlineLevel="0" collapsed="false">
      <c r="A10" s="4" t="s">
        <v>19</v>
      </c>
      <c r="B10" s="5" t="n">
        <v>5</v>
      </c>
      <c r="C10" s="5" t="n">
        <v>2</v>
      </c>
      <c r="D10" s="5" t="n">
        <v>5</v>
      </c>
      <c r="E10" s="5" t="n">
        <v>1</v>
      </c>
      <c r="F10" s="5" t="n">
        <v>5</v>
      </c>
      <c r="G10" s="5" t="n">
        <v>1</v>
      </c>
      <c r="H10" s="5" t="n">
        <v>5</v>
      </c>
      <c r="I10" s="5" t="n">
        <v>1</v>
      </c>
      <c r="J10" s="5" t="n">
        <v>4</v>
      </c>
      <c r="K10" s="5" t="n">
        <v>5</v>
      </c>
      <c r="L10" s="6" t="n">
        <f aca="false">2.5*((B10-1)+(5-C10)+(D10-1)+(5-E10)+(F10-1)+(5-G10)+(H10-1)+(5-I10)+(J10-1)+(5-K10))</f>
        <v>85</v>
      </c>
    </row>
    <row r="11" customFormat="false" ht="15" hidden="false" customHeight="false" outlineLevel="0" collapsed="false">
      <c r="A11" s="4" t="s">
        <v>20</v>
      </c>
      <c r="B11" s="5" t="n">
        <v>4</v>
      </c>
      <c r="C11" s="5" t="n">
        <v>2</v>
      </c>
      <c r="D11" s="5" t="n">
        <v>4</v>
      </c>
      <c r="E11" s="5" t="n">
        <v>5</v>
      </c>
      <c r="F11" s="5" t="n">
        <v>4</v>
      </c>
      <c r="G11" s="5" t="n">
        <v>5</v>
      </c>
      <c r="H11" s="5" t="n">
        <v>5</v>
      </c>
      <c r="I11" s="5" t="n">
        <v>2</v>
      </c>
      <c r="J11" s="5" t="n">
        <v>5</v>
      </c>
      <c r="K11" s="5" t="n">
        <v>4</v>
      </c>
      <c r="L11" s="6" t="n">
        <f aca="false">2.5*((B11-1)+(5-C11)+(D11-1)+(5-E11)+(F11-1)+(5-G11)+(H11-1)+(5-I11)+(J11-1)+(5-K11))</f>
        <v>60</v>
      </c>
    </row>
    <row r="12" customFormat="false" ht="15" hidden="false" customHeight="false" outlineLevel="0" collapsed="false">
      <c r="A12" s="4" t="s">
        <v>21</v>
      </c>
      <c r="B12" s="5" t="n">
        <v>4</v>
      </c>
      <c r="C12" s="5" t="n">
        <v>5</v>
      </c>
      <c r="D12" s="5" t="n">
        <v>5</v>
      </c>
      <c r="E12" s="5" t="n">
        <v>2</v>
      </c>
      <c r="F12" s="5" t="n">
        <v>4</v>
      </c>
      <c r="G12" s="5" t="n">
        <v>1</v>
      </c>
      <c r="H12" s="5" t="n">
        <v>2</v>
      </c>
      <c r="I12" s="5" t="n">
        <v>4</v>
      </c>
      <c r="J12" s="5" t="n">
        <v>5</v>
      </c>
      <c r="K12" s="5" t="n">
        <v>4</v>
      </c>
      <c r="L12" s="6" t="n">
        <f aca="false">2.5*((B12-1)+(5-C12)+(D12-1)+(5-E12)+(F12-1)+(5-G12)+(H12-1)+(5-I12)+(J12-1)+(5-K12))</f>
        <v>60</v>
      </c>
    </row>
    <row r="13" customFormat="false" ht="15" hidden="false" customHeight="false" outlineLevel="0" collapsed="false">
      <c r="A13" s="4" t="s">
        <v>22</v>
      </c>
      <c r="B13" s="5" t="n">
        <v>4</v>
      </c>
      <c r="C13" s="5" t="n">
        <v>1</v>
      </c>
      <c r="D13" s="5" t="n">
        <v>5</v>
      </c>
      <c r="E13" s="5" t="n">
        <v>2</v>
      </c>
      <c r="F13" s="5" t="n">
        <v>4</v>
      </c>
      <c r="G13" s="5" t="n">
        <v>1</v>
      </c>
      <c r="H13" s="5" t="n">
        <v>4</v>
      </c>
      <c r="I13" s="5" t="n">
        <v>2</v>
      </c>
      <c r="J13" s="5" t="n">
        <v>5</v>
      </c>
      <c r="K13" s="5" t="n">
        <v>4</v>
      </c>
      <c r="L13" s="6" t="n">
        <f aca="false">2.5*((B13-1)+(5-C13)+(D13-1)+(5-E13)+(F13-1)+(5-G13)+(H13-1)+(5-I13)+(J13-1)+(5-K13))</f>
        <v>80</v>
      </c>
    </row>
    <row r="14" customFormat="false" ht="15" hidden="false" customHeight="false" outlineLevel="0" collapsed="false">
      <c r="A14" s="4" t="s">
        <v>23</v>
      </c>
      <c r="B14" s="5" t="n">
        <v>4</v>
      </c>
      <c r="C14" s="5" t="n">
        <v>2</v>
      </c>
      <c r="D14" s="5" t="n">
        <v>5</v>
      </c>
      <c r="E14" s="5" t="n">
        <v>2</v>
      </c>
      <c r="F14" s="5" t="n">
        <v>4</v>
      </c>
      <c r="G14" s="5" t="n">
        <v>2</v>
      </c>
      <c r="H14" s="5" t="n">
        <v>4</v>
      </c>
      <c r="I14" s="5" t="n">
        <v>1</v>
      </c>
      <c r="J14" s="5" t="n">
        <v>5</v>
      </c>
      <c r="K14" s="5" t="n">
        <v>5</v>
      </c>
      <c r="L14" s="6" t="n">
        <f aca="false">2.5*((B14-1)+(5-C14)+(D14-1)+(5-E14)+(F14-1)+(5-G14)+(H14-1)+(5-I14)+(J14-1)+(5-K14))</f>
        <v>75</v>
      </c>
    </row>
    <row r="15" customFormat="false" ht="15" hidden="false" customHeight="false" outlineLevel="0" collapsed="false">
      <c r="A15" s="4" t="s">
        <v>24</v>
      </c>
      <c r="B15" s="5" t="n">
        <v>4</v>
      </c>
      <c r="C15" s="5" t="n">
        <v>2</v>
      </c>
      <c r="D15" s="5" t="n">
        <v>4</v>
      </c>
      <c r="E15" s="5" t="n">
        <v>1</v>
      </c>
      <c r="F15" s="5" t="n">
        <v>5</v>
      </c>
      <c r="G15" s="5" t="n">
        <v>1</v>
      </c>
      <c r="H15" s="5" t="n">
        <v>5</v>
      </c>
      <c r="I15" s="5" t="n">
        <v>1</v>
      </c>
      <c r="J15" s="5" t="n">
        <v>5</v>
      </c>
      <c r="K15" s="5" t="n">
        <v>5</v>
      </c>
      <c r="L15" s="6" t="n">
        <f aca="false">2.5*((B15-1)+(5-C15)+(D15-1)+(5-E15)+(F15-1)+(5-G15)+(H15-1)+(5-I15)+(J15-1)+(5-K15))</f>
        <v>82.5</v>
      </c>
    </row>
    <row r="16" customFormat="false" ht="15" hidden="false" customHeight="false" outlineLevel="0" collapsed="false">
      <c r="A16" s="4" t="s">
        <v>25</v>
      </c>
      <c r="B16" s="5" t="n">
        <v>5</v>
      </c>
      <c r="C16" s="5" t="n">
        <v>1</v>
      </c>
      <c r="D16" s="5" t="n">
        <v>5</v>
      </c>
      <c r="E16" s="5" t="n">
        <v>2</v>
      </c>
      <c r="F16" s="5" t="n">
        <v>4</v>
      </c>
      <c r="G16" s="5" t="n">
        <v>2</v>
      </c>
      <c r="H16" s="5" t="n">
        <v>3</v>
      </c>
      <c r="I16" s="5" t="n">
        <v>3</v>
      </c>
      <c r="J16" s="5" t="n">
        <v>3</v>
      </c>
      <c r="K16" s="5" t="n">
        <v>5</v>
      </c>
      <c r="L16" s="6" t="n">
        <f aca="false">2.5*((B16-1)+(5-C16)+(D16-1)+(5-E16)+(F16-1)+(5-G16)+(H16-1)+(5-I16)+(J16-1)+(5-K16))</f>
        <v>67.5</v>
      </c>
    </row>
    <row r="18" customFormat="false" ht="15" hidden="false" customHeight="false" outlineLevel="0" collapsed="false">
      <c r="K18" s="7" t="s">
        <v>26</v>
      </c>
      <c r="L18" s="4" t="n">
        <f aca="false">COUNT(L5:L16)</f>
        <v>12</v>
      </c>
    </row>
    <row r="19" customFormat="false" ht="15" hidden="false" customHeight="false" outlineLevel="0" collapsed="false">
      <c r="K19" s="7" t="s">
        <v>27</v>
      </c>
      <c r="L19" s="4" t="n">
        <f aca="false">AVERAGE(L5:L16)</f>
        <v>73.9583333333333</v>
      </c>
    </row>
    <row r="20" customFormat="false" ht="15" hidden="false" customHeight="false" outlineLevel="0" collapsed="false">
      <c r="K20" s="7" t="s">
        <v>28</v>
      </c>
      <c r="L20" s="4" t="n">
        <f aca="false">MEDIAN(L5:L16)</f>
        <v>77.5</v>
      </c>
    </row>
    <row r="21" customFormat="false" ht="15" hidden="false" customHeight="false" outlineLevel="0" collapsed="false">
      <c r="K21" s="7" t="s">
        <v>29</v>
      </c>
      <c r="L21" s="4" t="n">
        <f aca="false">STDEV(L5:L16)</f>
        <v>9.0740848106856</v>
      </c>
    </row>
    <row r="22" customFormat="false" ht="15" hidden="false" customHeight="false" outlineLevel="0" collapsed="false">
      <c r="K22" s="7" t="s">
        <v>30</v>
      </c>
      <c r="L22" s="4" t="n">
        <f aca="false">STDEVP(L5:L16)</f>
        <v>8.68777477583043</v>
      </c>
    </row>
    <row r="23" customFormat="false" ht="15" hidden="false" customHeight="false" outlineLevel="0" collapsed="false">
      <c r="K23" s="7" t="s">
        <v>31</v>
      </c>
      <c r="L23" s="4" t="n">
        <f aca="false">MIN(L5:L16)</f>
        <v>60</v>
      </c>
    </row>
    <row r="24" customFormat="false" ht="15" hidden="false" customHeight="false" outlineLevel="0" collapsed="false">
      <c r="K24" s="7" t="s">
        <v>32</v>
      </c>
      <c r="L24" s="4" t="n">
        <f aca="false">MAX(L5:L16)</f>
        <v>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12" min="2" style="0" width="8"/>
  </cols>
  <sheetData>
    <row r="1" customFormat="false" ht="17.35" hidden="false" customHeight="false" outlineLevel="0" collapsed="false">
      <c r="A1" s="1" t="s">
        <v>33</v>
      </c>
    </row>
    <row r="2" customFormat="false" ht="15" hidden="false" customHeight="false" outlineLevel="0" collapsed="false">
      <c r="A2" s="2" t="s">
        <v>34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35</v>
      </c>
    </row>
    <row r="5" customFormat="false" ht="15" hidden="false" customHeight="false" outlineLevel="0" collapsed="false">
      <c r="A5" s="4" t="s">
        <v>14</v>
      </c>
      <c r="B5" s="4" t="n">
        <f aca="false">'Skor SUS'!B5-1</f>
        <v>4</v>
      </c>
      <c r="C5" s="4" t="n">
        <f aca="false">5-'Skor SUS'!C5</f>
        <v>3</v>
      </c>
      <c r="D5" s="4" t="n">
        <f aca="false">'Skor SUS'!D5-1</f>
        <v>4</v>
      </c>
      <c r="E5" s="4" t="n">
        <f aca="false">5-'Skor SUS'!E5</f>
        <v>3</v>
      </c>
      <c r="F5" s="4" t="n">
        <f aca="false">'Skor SUS'!F5-1</f>
        <v>4</v>
      </c>
      <c r="G5" s="4" t="n">
        <f aca="false">5-'Skor SUS'!G5</f>
        <v>3</v>
      </c>
      <c r="H5" s="4" t="n">
        <f aca="false">'Skor SUS'!H5-1</f>
        <v>4</v>
      </c>
      <c r="I5" s="4" t="n">
        <f aca="false">5-'Skor SUS'!I5</f>
        <v>3</v>
      </c>
      <c r="J5" s="4" t="n">
        <f aca="false">'Skor SUS'!J5-1</f>
        <v>3</v>
      </c>
      <c r="K5" s="4" t="n">
        <f aca="false">5-'Skor SUS'!K5</f>
        <v>0</v>
      </c>
      <c r="L5" s="6" t="n">
        <f aca="false">SUM(B5:K5)</f>
        <v>31</v>
      </c>
    </row>
    <row r="6" customFormat="false" ht="15" hidden="false" customHeight="false" outlineLevel="0" collapsed="false">
      <c r="A6" s="4" t="s">
        <v>15</v>
      </c>
      <c r="B6" s="4" t="n">
        <f aca="false">'Skor SUS'!B6-1</f>
        <v>4</v>
      </c>
      <c r="C6" s="4" t="n">
        <f aca="false">5-'Skor SUS'!C6</f>
        <v>3</v>
      </c>
      <c r="D6" s="4" t="n">
        <f aca="false">'Skor SUS'!D6-1</f>
        <v>4</v>
      </c>
      <c r="E6" s="4" t="n">
        <f aca="false">5-'Skor SUS'!E6</f>
        <v>3</v>
      </c>
      <c r="F6" s="4" t="n">
        <f aca="false">'Skor SUS'!F6-1</f>
        <v>0</v>
      </c>
      <c r="G6" s="4" t="n">
        <f aca="false">5-'Skor SUS'!G6</f>
        <v>0</v>
      </c>
      <c r="H6" s="4" t="n">
        <f aca="false">'Skor SUS'!H6-1</f>
        <v>3</v>
      </c>
      <c r="I6" s="4" t="n">
        <f aca="false">5-'Skor SUS'!I6</f>
        <v>4</v>
      </c>
      <c r="J6" s="4" t="n">
        <f aca="false">'Skor SUS'!J6-1</f>
        <v>4</v>
      </c>
      <c r="K6" s="4" t="n">
        <f aca="false">5-'Skor SUS'!K6</f>
        <v>0</v>
      </c>
      <c r="L6" s="6" t="n">
        <f aca="false">SUM(B6:K6)</f>
        <v>25</v>
      </c>
    </row>
    <row r="7" customFormat="false" ht="15" hidden="false" customHeight="false" outlineLevel="0" collapsed="false">
      <c r="A7" s="4" t="s">
        <v>16</v>
      </c>
      <c r="B7" s="4" t="n">
        <f aca="false">'Skor SUS'!B7-1</f>
        <v>4</v>
      </c>
      <c r="C7" s="4" t="n">
        <f aca="false">5-'Skor SUS'!C7</f>
        <v>3</v>
      </c>
      <c r="D7" s="4" t="n">
        <f aca="false">'Skor SUS'!D7-1</f>
        <v>3</v>
      </c>
      <c r="E7" s="4" t="n">
        <f aca="false">5-'Skor SUS'!E7</f>
        <v>3</v>
      </c>
      <c r="F7" s="4" t="n">
        <f aca="false">'Skor SUS'!F7-1</f>
        <v>3</v>
      </c>
      <c r="G7" s="4" t="n">
        <f aca="false">5-'Skor SUS'!G7</f>
        <v>4</v>
      </c>
      <c r="H7" s="4" t="n">
        <f aca="false">'Skor SUS'!H7-1</f>
        <v>3</v>
      </c>
      <c r="I7" s="4" t="n">
        <f aca="false">5-'Skor SUS'!I7</f>
        <v>4</v>
      </c>
      <c r="J7" s="4" t="n">
        <f aca="false">'Skor SUS'!J7-1</f>
        <v>4</v>
      </c>
      <c r="K7" s="4" t="n">
        <f aca="false">5-'Skor SUS'!K7</f>
        <v>0</v>
      </c>
      <c r="L7" s="6" t="n">
        <f aca="false">SUM(B7:K7)</f>
        <v>31</v>
      </c>
    </row>
    <row r="8" customFormat="false" ht="15" hidden="false" customHeight="false" outlineLevel="0" collapsed="false">
      <c r="A8" s="4" t="s">
        <v>17</v>
      </c>
      <c r="B8" s="4" t="n">
        <f aca="false">'Skor SUS'!B8-1</f>
        <v>4</v>
      </c>
      <c r="C8" s="4" t="n">
        <f aca="false">5-'Skor SUS'!C8</f>
        <v>3</v>
      </c>
      <c r="D8" s="4" t="n">
        <f aca="false">'Skor SUS'!D8-1</f>
        <v>3</v>
      </c>
      <c r="E8" s="4" t="n">
        <f aca="false">5-'Skor SUS'!E8</f>
        <v>4</v>
      </c>
      <c r="F8" s="4" t="n">
        <f aca="false">'Skor SUS'!F8-1</f>
        <v>4</v>
      </c>
      <c r="G8" s="4" t="n">
        <f aca="false">5-'Skor SUS'!G8</f>
        <v>3</v>
      </c>
      <c r="H8" s="4" t="n">
        <f aca="false">'Skor SUS'!H8-1</f>
        <v>3</v>
      </c>
      <c r="I8" s="4" t="n">
        <f aca="false">5-'Skor SUS'!I8</f>
        <v>4</v>
      </c>
      <c r="J8" s="4" t="n">
        <f aca="false">'Skor SUS'!J8-1</f>
        <v>4</v>
      </c>
      <c r="K8" s="4" t="n">
        <f aca="false">5-'Skor SUS'!K8</f>
        <v>1</v>
      </c>
      <c r="L8" s="6" t="n">
        <f aca="false">SUM(B8:K8)</f>
        <v>33</v>
      </c>
    </row>
    <row r="9" customFormat="false" ht="15" hidden="false" customHeight="false" outlineLevel="0" collapsed="false">
      <c r="A9" s="4" t="s">
        <v>18</v>
      </c>
      <c r="B9" s="4" t="n">
        <f aca="false">'Skor SUS'!B9-1</f>
        <v>4</v>
      </c>
      <c r="C9" s="4" t="n">
        <f aca="false">5-'Skor SUS'!C9</f>
        <v>3</v>
      </c>
      <c r="D9" s="4" t="n">
        <f aca="false">'Skor SUS'!D9-1</f>
        <v>4</v>
      </c>
      <c r="E9" s="4" t="n">
        <f aca="false">5-'Skor SUS'!E9</f>
        <v>4</v>
      </c>
      <c r="F9" s="4" t="n">
        <f aca="false">'Skor SUS'!F9-1</f>
        <v>3</v>
      </c>
      <c r="G9" s="4" t="n">
        <f aca="false">5-'Skor SUS'!G9</f>
        <v>2</v>
      </c>
      <c r="H9" s="4" t="n">
        <f aca="false">'Skor SUS'!H9-1</f>
        <v>4</v>
      </c>
      <c r="I9" s="4" t="n">
        <f aca="false">5-'Skor SUS'!I9</f>
        <v>3</v>
      </c>
      <c r="J9" s="4" t="n">
        <f aca="false">'Skor SUS'!J9-1</f>
        <v>4</v>
      </c>
      <c r="K9" s="4" t="n">
        <f aca="false">5-'Skor SUS'!K9</f>
        <v>0</v>
      </c>
      <c r="L9" s="6" t="n">
        <f aca="false">SUM(B9:K9)</f>
        <v>31</v>
      </c>
    </row>
    <row r="10" customFormat="false" ht="15" hidden="false" customHeight="false" outlineLevel="0" collapsed="false">
      <c r="A10" s="4" t="s">
        <v>19</v>
      </c>
      <c r="B10" s="4" t="n">
        <f aca="false">'Skor SUS'!B10-1</f>
        <v>4</v>
      </c>
      <c r="C10" s="4" t="n">
        <f aca="false">5-'Skor SUS'!C10</f>
        <v>3</v>
      </c>
      <c r="D10" s="4" t="n">
        <f aca="false">'Skor SUS'!D10-1</f>
        <v>4</v>
      </c>
      <c r="E10" s="4" t="n">
        <f aca="false">5-'Skor SUS'!E10</f>
        <v>4</v>
      </c>
      <c r="F10" s="4" t="n">
        <f aca="false">'Skor SUS'!F10-1</f>
        <v>4</v>
      </c>
      <c r="G10" s="4" t="n">
        <f aca="false">5-'Skor SUS'!G10</f>
        <v>4</v>
      </c>
      <c r="H10" s="4" t="n">
        <f aca="false">'Skor SUS'!H10-1</f>
        <v>4</v>
      </c>
      <c r="I10" s="4" t="n">
        <f aca="false">5-'Skor SUS'!I10</f>
        <v>4</v>
      </c>
      <c r="J10" s="4" t="n">
        <f aca="false">'Skor SUS'!J10-1</f>
        <v>3</v>
      </c>
      <c r="K10" s="4" t="n">
        <f aca="false">5-'Skor SUS'!K10</f>
        <v>0</v>
      </c>
      <c r="L10" s="6" t="n">
        <f aca="false">SUM(B10:K10)</f>
        <v>34</v>
      </c>
    </row>
    <row r="11" customFormat="false" ht="15" hidden="false" customHeight="false" outlineLevel="0" collapsed="false">
      <c r="A11" s="4" t="s">
        <v>20</v>
      </c>
      <c r="B11" s="4" t="n">
        <f aca="false">'Skor SUS'!B11-1</f>
        <v>3</v>
      </c>
      <c r="C11" s="4" t="n">
        <f aca="false">5-'Skor SUS'!C11</f>
        <v>3</v>
      </c>
      <c r="D11" s="4" t="n">
        <f aca="false">'Skor SUS'!D11-1</f>
        <v>3</v>
      </c>
      <c r="E11" s="4" t="n">
        <f aca="false">5-'Skor SUS'!E11</f>
        <v>0</v>
      </c>
      <c r="F11" s="4" t="n">
        <f aca="false">'Skor SUS'!F11-1</f>
        <v>3</v>
      </c>
      <c r="G11" s="4" t="n">
        <f aca="false">5-'Skor SUS'!G11</f>
        <v>0</v>
      </c>
      <c r="H11" s="4" t="n">
        <f aca="false">'Skor SUS'!H11-1</f>
        <v>4</v>
      </c>
      <c r="I11" s="4" t="n">
        <f aca="false">5-'Skor SUS'!I11</f>
        <v>3</v>
      </c>
      <c r="J11" s="4" t="n">
        <f aca="false">'Skor SUS'!J11-1</f>
        <v>4</v>
      </c>
      <c r="K11" s="4" t="n">
        <f aca="false">5-'Skor SUS'!K11</f>
        <v>1</v>
      </c>
      <c r="L11" s="6" t="n">
        <f aca="false">SUM(B11:K11)</f>
        <v>24</v>
      </c>
    </row>
    <row r="12" customFormat="false" ht="15" hidden="false" customHeight="false" outlineLevel="0" collapsed="false">
      <c r="A12" s="4" t="s">
        <v>21</v>
      </c>
      <c r="B12" s="4" t="n">
        <f aca="false">'Skor SUS'!B12-1</f>
        <v>3</v>
      </c>
      <c r="C12" s="4" t="n">
        <f aca="false">5-'Skor SUS'!C12</f>
        <v>0</v>
      </c>
      <c r="D12" s="4" t="n">
        <f aca="false">'Skor SUS'!D12-1</f>
        <v>4</v>
      </c>
      <c r="E12" s="4" t="n">
        <f aca="false">5-'Skor SUS'!E12</f>
        <v>3</v>
      </c>
      <c r="F12" s="4" t="n">
        <f aca="false">'Skor SUS'!F12-1</f>
        <v>3</v>
      </c>
      <c r="G12" s="4" t="n">
        <f aca="false">5-'Skor SUS'!G12</f>
        <v>4</v>
      </c>
      <c r="H12" s="4" t="n">
        <f aca="false">'Skor SUS'!H12-1</f>
        <v>1</v>
      </c>
      <c r="I12" s="4" t="n">
        <f aca="false">5-'Skor SUS'!I12</f>
        <v>1</v>
      </c>
      <c r="J12" s="4" t="n">
        <f aca="false">'Skor SUS'!J12-1</f>
        <v>4</v>
      </c>
      <c r="K12" s="4" t="n">
        <f aca="false">5-'Skor SUS'!K12</f>
        <v>1</v>
      </c>
      <c r="L12" s="6" t="n">
        <f aca="false">SUM(B12:K12)</f>
        <v>24</v>
      </c>
    </row>
    <row r="13" customFormat="false" ht="15" hidden="false" customHeight="false" outlineLevel="0" collapsed="false">
      <c r="A13" s="4" t="s">
        <v>22</v>
      </c>
      <c r="B13" s="4" t="n">
        <f aca="false">'Skor SUS'!B13-1</f>
        <v>3</v>
      </c>
      <c r="C13" s="4" t="n">
        <f aca="false">5-'Skor SUS'!C13</f>
        <v>4</v>
      </c>
      <c r="D13" s="4" t="n">
        <f aca="false">'Skor SUS'!D13-1</f>
        <v>4</v>
      </c>
      <c r="E13" s="4" t="n">
        <f aca="false">5-'Skor SUS'!E13</f>
        <v>3</v>
      </c>
      <c r="F13" s="4" t="n">
        <f aca="false">'Skor SUS'!F13-1</f>
        <v>3</v>
      </c>
      <c r="G13" s="4" t="n">
        <f aca="false">5-'Skor SUS'!G13</f>
        <v>4</v>
      </c>
      <c r="H13" s="4" t="n">
        <f aca="false">'Skor SUS'!H13-1</f>
        <v>3</v>
      </c>
      <c r="I13" s="4" t="n">
        <f aca="false">5-'Skor SUS'!I13</f>
        <v>3</v>
      </c>
      <c r="J13" s="4" t="n">
        <f aca="false">'Skor SUS'!J13-1</f>
        <v>4</v>
      </c>
      <c r="K13" s="4" t="n">
        <f aca="false">5-'Skor SUS'!K13</f>
        <v>1</v>
      </c>
      <c r="L13" s="6" t="n">
        <f aca="false">SUM(B13:K13)</f>
        <v>32</v>
      </c>
    </row>
    <row r="14" customFormat="false" ht="15" hidden="false" customHeight="false" outlineLevel="0" collapsed="false">
      <c r="A14" s="4" t="s">
        <v>23</v>
      </c>
      <c r="B14" s="4" t="n">
        <f aca="false">'Skor SUS'!B14-1</f>
        <v>3</v>
      </c>
      <c r="C14" s="4" t="n">
        <f aca="false">5-'Skor SUS'!C14</f>
        <v>3</v>
      </c>
      <c r="D14" s="4" t="n">
        <f aca="false">'Skor SUS'!D14-1</f>
        <v>4</v>
      </c>
      <c r="E14" s="4" t="n">
        <f aca="false">5-'Skor SUS'!E14</f>
        <v>3</v>
      </c>
      <c r="F14" s="4" t="n">
        <f aca="false">'Skor SUS'!F14-1</f>
        <v>3</v>
      </c>
      <c r="G14" s="4" t="n">
        <f aca="false">5-'Skor SUS'!G14</f>
        <v>3</v>
      </c>
      <c r="H14" s="4" t="n">
        <f aca="false">'Skor SUS'!H14-1</f>
        <v>3</v>
      </c>
      <c r="I14" s="4" t="n">
        <f aca="false">5-'Skor SUS'!I14</f>
        <v>4</v>
      </c>
      <c r="J14" s="4" t="n">
        <f aca="false">'Skor SUS'!J14-1</f>
        <v>4</v>
      </c>
      <c r="K14" s="4" t="n">
        <f aca="false">5-'Skor SUS'!K14</f>
        <v>0</v>
      </c>
      <c r="L14" s="6" t="n">
        <f aca="false">SUM(B14:K14)</f>
        <v>30</v>
      </c>
    </row>
    <row r="15" customFormat="false" ht="15" hidden="false" customHeight="false" outlineLevel="0" collapsed="false">
      <c r="A15" s="4" t="s">
        <v>24</v>
      </c>
      <c r="B15" s="4" t="n">
        <f aca="false">'Skor SUS'!B15-1</f>
        <v>3</v>
      </c>
      <c r="C15" s="4" t="n">
        <f aca="false">5-'Skor SUS'!C15</f>
        <v>3</v>
      </c>
      <c r="D15" s="4" t="n">
        <f aca="false">'Skor SUS'!D15-1</f>
        <v>3</v>
      </c>
      <c r="E15" s="4" t="n">
        <f aca="false">5-'Skor SUS'!E15</f>
        <v>4</v>
      </c>
      <c r="F15" s="4" t="n">
        <f aca="false">'Skor SUS'!F15-1</f>
        <v>4</v>
      </c>
      <c r="G15" s="4" t="n">
        <f aca="false">5-'Skor SUS'!G15</f>
        <v>4</v>
      </c>
      <c r="H15" s="4" t="n">
        <f aca="false">'Skor SUS'!H15-1</f>
        <v>4</v>
      </c>
      <c r="I15" s="4" t="n">
        <f aca="false">5-'Skor SUS'!I15</f>
        <v>4</v>
      </c>
      <c r="J15" s="4" t="n">
        <f aca="false">'Skor SUS'!J15-1</f>
        <v>4</v>
      </c>
      <c r="K15" s="4" t="n">
        <f aca="false">5-'Skor SUS'!K15</f>
        <v>0</v>
      </c>
      <c r="L15" s="6" t="n">
        <f aca="false">SUM(B15:K15)</f>
        <v>33</v>
      </c>
    </row>
    <row r="16" customFormat="false" ht="15" hidden="false" customHeight="false" outlineLevel="0" collapsed="false">
      <c r="A16" s="4" t="s">
        <v>25</v>
      </c>
      <c r="B16" s="4" t="n">
        <f aca="false">'Skor SUS'!B16-1</f>
        <v>4</v>
      </c>
      <c r="C16" s="4" t="n">
        <f aca="false">5-'Skor SUS'!C16</f>
        <v>4</v>
      </c>
      <c r="D16" s="4" t="n">
        <f aca="false">'Skor SUS'!D16-1</f>
        <v>4</v>
      </c>
      <c r="E16" s="4" t="n">
        <f aca="false">5-'Skor SUS'!E16</f>
        <v>3</v>
      </c>
      <c r="F16" s="4" t="n">
        <f aca="false">'Skor SUS'!F16-1</f>
        <v>3</v>
      </c>
      <c r="G16" s="4" t="n">
        <f aca="false">5-'Skor SUS'!G16</f>
        <v>3</v>
      </c>
      <c r="H16" s="4" t="n">
        <f aca="false">'Skor SUS'!H16-1</f>
        <v>2</v>
      </c>
      <c r="I16" s="4" t="n">
        <f aca="false">5-'Skor SUS'!I16</f>
        <v>2</v>
      </c>
      <c r="J16" s="4" t="n">
        <f aca="false">'Skor SUS'!J16-1</f>
        <v>2</v>
      </c>
      <c r="K16" s="4" t="n">
        <f aca="false">5-'Skor SUS'!K16</f>
        <v>0</v>
      </c>
      <c r="L16" s="6" t="n">
        <f aca="false">SUM(B16:K16)</f>
        <v>27</v>
      </c>
    </row>
    <row r="17" customFormat="false" ht="15" hidden="false" customHeight="false" outlineLevel="0" collapsed="false">
      <c r="A17" s="8" t="s">
        <v>36</v>
      </c>
      <c r="B17" s="9" t="n">
        <f aca="false">VAR(B5:B16)</f>
        <v>0.265151515151515</v>
      </c>
      <c r="C17" s="9" t="n">
        <f aca="false">VAR(C5:C16)</f>
        <v>0.992424242424242</v>
      </c>
      <c r="D17" s="9" t="n">
        <f aca="false">VAR(D5:D16)</f>
        <v>0.242424242424242</v>
      </c>
      <c r="E17" s="9" t="n">
        <f aca="false">VAR(E5:E16)</f>
        <v>1.17424242424242</v>
      </c>
      <c r="F17" s="9" t="n">
        <f aca="false">VAR(F5:F16)</f>
        <v>1.17424242424242</v>
      </c>
      <c r="G17" s="9" t="n">
        <f aca="false">VAR(G5:G16)</f>
        <v>2.15151515151515</v>
      </c>
      <c r="H17" s="9" t="n">
        <f aca="false">VAR(H5:H16)</f>
        <v>0.878787878787879</v>
      </c>
      <c r="I17" s="9" t="n">
        <f aca="false">VAR(I5:I16)</f>
        <v>0.931818181818182</v>
      </c>
      <c r="J17" s="9" t="n">
        <f aca="false">VAR(J5:J16)</f>
        <v>0.424242424242424</v>
      </c>
      <c r="K17" s="9" t="n">
        <f aca="false">VAR(K5:K16)</f>
        <v>0.242424242424243</v>
      </c>
      <c r="L17" s="10" t="n">
        <f aca="false">SUM(B17:K17)</f>
        <v>8.47727272727273</v>
      </c>
    </row>
    <row r="19" customFormat="false" ht="15" hidden="false" customHeight="false" outlineLevel="0" collapsed="false">
      <c r="A19" s="8" t="s">
        <v>37</v>
      </c>
      <c r="B19" s="4" t="n">
        <f aca="false">10</f>
        <v>10</v>
      </c>
    </row>
    <row r="20" customFormat="false" ht="15" hidden="false" customHeight="false" outlineLevel="0" collapsed="false">
      <c r="A20" s="8" t="s">
        <v>38</v>
      </c>
      <c r="B20" s="4" t="n">
        <f aca="false">L17</f>
        <v>8.47727272727273</v>
      </c>
    </row>
    <row r="21" customFormat="false" ht="15" hidden="false" customHeight="false" outlineLevel="0" collapsed="false">
      <c r="A21" s="8" t="s">
        <v>39</v>
      </c>
      <c r="B21" s="4" t="n">
        <f aca="false">VAR(L5:L16)</f>
        <v>13.1742424242424</v>
      </c>
    </row>
    <row r="22" customFormat="false" ht="15" hidden="false" customHeight="false" outlineLevel="0" collapsed="false">
      <c r="A22" s="8" t="s">
        <v>40</v>
      </c>
      <c r="B22" s="11" t="n">
        <f aca="false">(B19/(B19-1))*(1-B20/B21)</f>
        <v>0.396140821672737</v>
      </c>
    </row>
    <row r="24" customFormat="false" ht="15" hidden="false" customHeight="false" outlineLevel="0" collapsed="false">
      <c r="A24" s="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2026-08-19T06:48:43Z</dcterms:created>
  <dc:creator>openpyxl</dc:creator>
  <dc:description/>
  <dc:language>en-US</dc:language>
  <cp:lastModifiedBy/>
  <dcterms:modified xsi:type="dcterms:W3CDTF">2026-08-19T06:49:09Z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